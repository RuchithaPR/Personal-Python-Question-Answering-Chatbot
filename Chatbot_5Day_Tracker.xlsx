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Tasks" sheetId="2" state="visible" r:id="rId4"/>
    <sheet name="Habi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<sst xmlns="http://schemas.openxmlformats.org/spreadsheetml/2006/main" count="94" uniqueCount="60">
  <si>
    <t xml:space="preserve">Python Q&amp;A Chatbot: 5-Day Tracker</t>
  </si>
  <si>
    <t xml:space="preserve">Tick tasks on the 'Tasks' sheet (yellow Done column, pick ☑ from the dropdown). This sheet updates automatically.</t>
  </si>
  <si>
    <t xml:space="preserve">Day</t>
  </si>
  <si>
    <t xml:space="preserve">Date</t>
  </si>
  <si>
    <t xml:space="preserve">Focus</t>
  </si>
  <si>
    <t xml:space="preserve">Planned hrs</t>
  </si>
  <si>
    <t xml:space="preserve">Tasks done</t>
  </si>
  <si>
    <t xml:space="preserve">Total tasks</t>
  </si>
  <si>
    <t xml:space="preserve">Hours done</t>
  </si>
  <si>
    <t xml:space="preserve">Progress</t>
  </si>
  <si>
    <t xml:space="preserve">Status</t>
  </si>
  <si>
    <t xml:space="preserve">Setup and understanding</t>
  </si>
  <si>
    <t xml:space="preserve">Knowledge base, part 1</t>
  </si>
  <si>
    <t xml:space="preserve">Knowledge base, part 2 and testing</t>
  </si>
  <si>
    <t xml:space="preserve">Improvements and tuning</t>
  </si>
  <si>
    <t xml:space="preserve">Polish and submit</t>
  </si>
  <si>
    <t xml:space="preserve">Total</t>
  </si>
  <si>
    <t xml:space="preserve">Overall progress</t>
  </si>
  <si>
    <t xml:space="preserve">Days completed</t>
  </si>
  <si>
    <t xml:space="preserve">Note: Planned hours are the sum of task minutes on the Tasks sheet (about 19 hrs; the earlier plan rounded to 18).</t>
  </si>
  <si>
    <t xml:space="preserve">Task</t>
  </si>
  <si>
    <t xml:space="preserve">Time (min)</t>
  </si>
  <si>
    <t xml:space="preserve">Done</t>
  </si>
  <si>
    <t xml:space="preserve">Install Python, create venv, run pip install -r requirements.txt</t>
  </si>
  <si>
    <t xml:space="preserve">☐</t>
  </si>
  <si>
    <t xml:space="preserve">Run chatbot.py and streamlit run app.py, test 15-20 questions</t>
  </si>
  <si>
    <t xml:space="preserve">Read chatbot.py line by line and write notes on each method</t>
  </si>
  <si>
    <t xml:space="preserve">Learn TF-IDF, cosine similarity and the threshold idea</t>
  </si>
  <si>
    <t xml:space="preserve">Create the GitHub repo and make the first commit</t>
  </si>
  <si>
    <t xml:space="preserve">Add 10 Q&amp;As on strings and lists</t>
  </si>
  <si>
    <t xml:space="preserve">Add 10 Q&amp;As on dicts, sets and tuples</t>
  </si>
  <si>
    <t xml:space="preserve">Add 10 Q&amp;As on loops, conditionals and functions</t>
  </si>
  <si>
    <t xml:space="preserve">Test each new entry with 2 differently worded questions</t>
  </si>
  <si>
    <t xml:space="preserve">Fix entries that matched wrongly (improve keywords)</t>
  </si>
  <si>
    <t xml:space="preserve">Commit and push (target: about 65 entries)</t>
  </si>
  <si>
    <t xml:space="preserve">Add 10 Q&amp;As on OOP and exceptions</t>
  </si>
  <si>
    <t xml:space="preserve">Add 10 Q&amp;As on file handling and modules</t>
  </si>
  <si>
    <t xml:space="preserve">Add 10 Q&amp;As on NumPy, pandas and interview questions</t>
  </si>
  <si>
    <t xml:space="preserve">Write test_bot.py with (question, expected match) pairs</t>
  </si>
  <si>
    <t xml:space="preserve">Print pass/fail and an accuracy percentage</t>
  </si>
  <si>
    <t xml:space="preserve">Commit and push (target: about 95 entries)</t>
  </si>
  <si>
    <t xml:space="preserve">Test thresholds 0.15, 0.2 and 0.3, then pick the best</t>
  </si>
  <si>
    <t xml:space="preserve">Handle empty input, 'thanks' and 'bye'</t>
  </si>
  <si>
    <t xml:space="preserve">Add 'Did you mean...?' showing top 3 matches on low confidence</t>
  </si>
  <si>
    <t xml:space="preserve">Load the JSON into pandas and check duplicates and missing fields</t>
  </si>
  <si>
    <t xml:space="preserve">Re-run tests and note the new accuracy</t>
  </si>
  <si>
    <t xml:space="preserve">Commit and push</t>
  </si>
  <si>
    <t xml:space="preserve">Tidy the Streamlit UI</t>
  </si>
  <si>
    <t xml:space="preserve">Take 3-4 screenshots</t>
  </si>
  <si>
    <t xml:space="preserve">Finalize the README (overview, how it works, setup, screenshots, accuracy)</t>
  </si>
  <si>
    <t xml:space="preserve">Clean the code with comments and consistent naming</t>
  </si>
  <si>
    <t xml:space="preserve">Push the final version and make the repo public</t>
  </si>
  <si>
    <t xml:space="preserve">Prepare answers to likely mentor questions</t>
  </si>
  <si>
    <t xml:space="preserve">Add the project to your resume</t>
  </si>
  <si>
    <t xml:space="preserve">Daily habit</t>
  </si>
  <si>
    <t xml:space="preserve">Done today?</t>
  </si>
  <si>
    <t xml:space="preserve">Commit to GitHub every day</t>
  </si>
  <si>
    <t xml:space="preserve">Study in focused blocks of 50 min with 10 min breaks</t>
  </si>
  <si>
    <t xml:space="preserve">From Oct 18, spend 20-30 min a day collecting face images</t>
  </si>
  <si>
    <t xml:space="preserve">Reset the checkboxes to ☐ each morning. Yellow cells are the ones you edit.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</si>
</sst>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m\ d"/>
    <numFmt numFmtId="166" formatCode="0.0"/>
    <numFmt numFmtId="167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sz val="1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EAF1FB"/>
      </patternFill>
    </fill>
    <fill>
      <patternFill patternType="solid">
        <fgColor rgb="FFEAF1FB"/>
        <bgColor rgb="FFE2EFDA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ont>
        <name val="Arial"/>
        <charset val="1"/>
        <family val="0"/>
        <strike val="1"/>
        <color rgb="FF7F7F7F"/>
      </font>
      <fill>
        <patternFill>
          <bgColor rgb="FFE2EF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AF1FB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36"/>
    <col collapsed="false" customWidth="true" hidden="false" outlineLevel="0" max="4" min="4" style="0" width="13"/>
    <col collapsed="false" customWidth="true" hidden="false" outlineLevel="0" max="7" min="5" style="0" width="12"/>
    <col collapsed="false" customWidth="true" hidden="false" outlineLevel="0" max="8" min="8" style="0" width="11"/>
    <col collapsed="false" customWidth="true" hidden="false" outlineLevel="0" max="9" min="9" style="0" width="1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n">
        <v>1</v>
      </c>
      <c r="B5" s="5" t="n">
        <v>46308</v>
      </c>
      <c r="C5" s="6" t="s">
        <v>11</v>
      </c>
      <c r="D5" s="7" t="n">
        <f aca="false">SUMIFS(Tasks!$D$2:$D$31,Tasks!$A$2:$A$31,A5)/60</f>
        <v>3.25</v>
      </c>
      <c r="E5" s="4" t="n">
        <f aca="false">COUNTIFS(Tasks!$A$2:$A$31,A5,Tasks!$E$2:$E$31,"☑")</f>
        <v>0</v>
      </c>
      <c r="F5" s="4" t="n">
        <f aca="false">COUNTIFS(Tasks!$A$2:$A$31,A5)</f>
        <v>5</v>
      </c>
      <c r="G5" s="7" t="n">
        <f aca="false">SUMIFS(Tasks!$D$2:$D$31,Tasks!$A$2:$A$31,A5,Tasks!$E$2:$E$31,"☑")/60</f>
        <v>0</v>
      </c>
      <c r="H5" s="8" t="n">
        <f aca="false">IF(F5=0,0,E5/F5)</f>
        <v>0</v>
      </c>
      <c r="I5" s="4" t="str">
        <f aca="false">IF(H5=1,"Complete",IF(H5&gt;0,"In progress","Not started"))</f>
        <v>Not started</v>
      </c>
    </row>
    <row r="6" customFormat="false" ht="15" hidden="false" customHeight="false" outlineLevel="0" collapsed="false">
      <c r="A6" s="9" t="n">
        <v>2</v>
      </c>
      <c r="B6" s="10" t="n">
        <v>46309</v>
      </c>
      <c r="C6" s="11" t="s">
        <v>12</v>
      </c>
      <c r="D6" s="12" t="n">
        <f aca="false">SUMIFS(Tasks!$D$2:$D$31,Tasks!$A$2:$A$31,A6)/60</f>
        <v>4</v>
      </c>
      <c r="E6" s="9" t="n">
        <f aca="false">COUNTIFS(Tasks!$A$2:$A$31,A6,Tasks!$E$2:$E$31,"☑")</f>
        <v>0</v>
      </c>
      <c r="F6" s="9" t="n">
        <f aca="false">COUNTIFS(Tasks!$A$2:$A$31,A6)</f>
        <v>6</v>
      </c>
      <c r="G6" s="12" t="n">
        <f aca="false">SUMIFS(Tasks!$D$2:$D$31,Tasks!$A$2:$A$31,A6,Tasks!$E$2:$E$31,"☑")/60</f>
        <v>0</v>
      </c>
      <c r="H6" s="13" t="n">
        <f aca="false">IF(F6=0,0,E6/F6)</f>
        <v>0</v>
      </c>
      <c r="I6" s="9" t="str">
        <f aca="false">IF(H6=1,"Complete",IF(H6&gt;0,"In progress","Not started"))</f>
        <v>Not started</v>
      </c>
    </row>
    <row r="7" customFormat="false" ht="15" hidden="false" customHeight="false" outlineLevel="0" collapsed="false">
      <c r="A7" s="4" t="n">
        <v>3</v>
      </c>
      <c r="B7" s="5" t="n">
        <v>46310</v>
      </c>
      <c r="C7" s="6" t="s">
        <v>13</v>
      </c>
      <c r="D7" s="7" t="n">
        <f aca="false">SUMIFS(Tasks!$D$2:$D$31,Tasks!$A$2:$A$31,A7)/60</f>
        <v>4.25</v>
      </c>
      <c r="E7" s="4" t="n">
        <f aca="false">COUNTIFS(Tasks!$A$2:$A$31,A7,Tasks!$E$2:$E$31,"☑")</f>
        <v>0</v>
      </c>
      <c r="F7" s="4" t="n">
        <f aca="false">COUNTIFS(Tasks!$A$2:$A$31,A7)</f>
        <v>6</v>
      </c>
      <c r="G7" s="7" t="n">
        <f aca="false">SUMIFS(Tasks!$D$2:$D$31,Tasks!$A$2:$A$31,A7,Tasks!$E$2:$E$31,"☑")/60</f>
        <v>0</v>
      </c>
      <c r="H7" s="8" t="n">
        <f aca="false">IF(F7=0,0,E7/F7)</f>
        <v>0</v>
      </c>
      <c r="I7" s="4" t="str">
        <f aca="false">IF(H7=1,"Complete",IF(H7&gt;0,"In progress","Not started"))</f>
        <v>Not started</v>
      </c>
    </row>
    <row r="8" customFormat="false" ht="15" hidden="false" customHeight="false" outlineLevel="0" collapsed="false">
      <c r="A8" s="9" t="n">
        <v>4</v>
      </c>
      <c r="B8" s="10" t="n">
        <v>46311</v>
      </c>
      <c r="C8" s="11" t="s">
        <v>14</v>
      </c>
      <c r="D8" s="12" t="n">
        <f aca="false">SUMIFS(Tasks!$D$2:$D$31,Tasks!$A$2:$A$31,A8)/60</f>
        <v>4.5</v>
      </c>
      <c r="E8" s="9" t="n">
        <f aca="false">COUNTIFS(Tasks!$A$2:$A$31,A8,Tasks!$E$2:$E$31,"☑")</f>
        <v>0</v>
      </c>
      <c r="F8" s="9" t="n">
        <f aca="false">COUNTIFS(Tasks!$A$2:$A$31,A8)</f>
        <v>6</v>
      </c>
      <c r="G8" s="12" t="n">
        <f aca="false">SUMIFS(Tasks!$D$2:$D$31,Tasks!$A$2:$A$31,A8,Tasks!$E$2:$E$31,"☑")/60</f>
        <v>0</v>
      </c>
      <c r="H8" s="13" t="n">
        <f aca="false">IF(F8=0,0,E8/F8)</f>
        <v>0</v>
      </c>
      <c r="I8" s="9" t="str">
        <f aca="false">IF(H8=1,"Complete",IF(H8&gt;0,"In progress","Not started"))</f>
        <v>Not started</v>
      </c>
    </row>
    <row r="9" customFormat="false" ht="15" hidden="false" customHeight="false" outlineLevel="0" collapsed="false">
      <c r="A9" s="4" t="n">
        <v>5</v>
      </c>
      <c r="B9" s="5" t="n">
        <v>46312</v>
      </c>
      <c r="C9" s="6" t="s">
        <v>15</v>
      </c>
      <c r="D9" s="7" t="n">
        <f aca="false">SUMIFS(Tasks!$D$2:$D$31,Tasks!$A$2:$A$31,A9)/60</f>
        <v>3</v>
      </c>
      <c r="E9" s="4" t="n">
        <f aca="false">COUNTIFS(Tasks!$A$2:$A$31,A9,Tasks!$E$2:$E$31,"☑")</f>
        <v>0</v>
      </c>
      <c r="F9" s="4" t="n">
        <f aca="false">COUNTIFS(Tasks!$A$2:$A$31,A9)</f>
        <v>7</v>
      </c>
      <c r="G9" s="7" t="n">
        <f aca="false">SUMIFS(Tasks!$D$2:$D$31,Tasks!$A$2:$A$31,A9,Tasks!$E$2:$E$31,"☑")/60</f>
        <v>0</v>
      </c>
      <c r="H9" s="8" t="n">
        <f aca="false">IF(F9=0,0,E9/F9)</f>
        <v>0</v>
      </c>
      <c r="I9" s="4" t="str">
        <f aca="false">IF(H9=1,"Complete",IF(H9&gt;0,"In progress","Not started"))</f>
        <v>Not started</v>
      </c>
    </row>
    <row r="10" customFormat="false" ht="15" hidden="false" customHeight="false" outlineLevel="0" collapsed="false">
      <c r="A10" s="14" t="s">
        <v>16</v>
      </c>
      <c r="B10" s="14"/>
      <c r="C10" s="14"/>
      <c r="D10" s="15" t="n">
        <f aca="false">SUM(D5:D9)</f>
        <v>19</v>
      </c>
      <c r="E10" s="14" t="n">
        <f aca="false">SUM(E5:E9)</f>
        <v>0</v>
      </c>
      <c r="F10" s="14" t="n">
        <f aca="false">SUM(F5:F9)</f>
        <v>30</v>
      </c>
      <c r="G10" s="15" t="n">
        <f aca="false">SUM(G5:G9)</f>
        <v>0</v>
      </c>
      <c r="H10" s="16" t="n">
        <f aca="false">IF(F10=0,0,E10/F10)</f>
        <v>0</v>
      </c>
      <c r="I10" s="14" t="str">
        <f aca="false">IF(H10=1,"Complete",IF(H10&gt;0,"In progress","Not started"))</f>
        <v>Not started</v>
      </c>
    </row>
    <row r="12" customFormat="false" ht="17.35" hidden="false" customHeight="false" outlineLevel="0" collapsed="false">
      <c r="A12" s="17" t="s">
        <v>17</v>
      </c>
      <c r="C12" s="18" t="n">
        <f aca="false">H10</f>
        <v>0</v>
      </c>
    </row>
    <row r="13" customFormat="false" ht="15" hidden="false" customHeight="false" outlineLevel="0" collapsed="false">
      <c r="A13" s="17" t="s">
        <v>18</v>
      </c>
      <c r="C13" s="19" t="str">
        <f aca="false">COUNTIF(I5:I9,"Complete")&amp;" of "&amp;COUNTA(A5:A9)</f>
        <v>0 of 5</v>
      </c>
    </row>
    <row r="14" customFormat="false" ht="15" hidden="false" customHeight="false" outlineLevel="0" collapsed="false">
      <c r="A14" s="2" t="s">
        <v>19</v>
      </c>
    </row>
  </sheetData>
  <conditionalFormatting sqref="H5:H9">
    <cfRule type="dataBar" priority="2">
      <dataBar showValue="1" minLength="10" maxLength="90">
        <cfvo type="num" val="0"/>
        <cfvo type="num" val="1"/>
        <color rgb="FF70AD47"/>
      </dataBar>
      <extLst>
        <ext xmlns:x14="http://schemas.microsoft.com/office/spreadsheetml/2009/9/main" uri="{B025F937-C7B1-47D3-B67F-A62EFF666E3E}">
          <x14:id>{9976693C-E6E6-4EB4-A8D0-50AE9DA34158}</x14:id>
        </ext>
      </extLst>
    </cfRule>
  </conditionalFormatting>
  <conditionalFormatting sqref="I5:I10">
    <cfRule type="expression" priority="3" aboveAverage="0" equalAverage="0" bottom="0" percent="0" rank="0" text="" dxfId="0">
      <formula>$I5="Complete"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76693C-E6E6-4EB4-A8D0-50AE9DA34158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70AD47"/>
              <x14:axisColor rgb="FF000000"/>
            </x14:dataBar>
          </x14:cfRule>
          <xm:sqref>H5:H9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70"/>
    <col collapsed="false" customWidth="true" hidden="false" outlineLevel="0" max="4" min="4" style="0" width="12"/>
    <col collapsed="false" customWidth="true" hidden="false" outlineLevel="0" max="5" min="5" style="0" width="9"/>
  </cols>
  <sheetData>
    <row r="1" customFormat="false" ht="15" hidden="false" customHeight="false" outlineLevel="0" collapsed="false">
      <c r="A1" s="3" t="s">
        <v>2</v>
      </c>
      <c r="B1" s="3" t="s">
        <v>3</v>
      </c>
      <c r="C1" s="3" t="s">
        <v>20</v>
      </c>
      <c r="D1" s="3" t="s">
        <v>21</v>
      </c>
      <c r="E1" s="3" t="s">
        <v>22</v>
      </c>
    </row>
    <row r="2" customFormat="false" ht="17.35" hidden="false" customHeight="false" outlineLevel="0" collapsed="false">
      <c r="A2" s="4" t="n">
        <v>1</v>
      </c>
      <c r="B2" s="5" t="n">
        <v>46308</v>
      </c>
      <c r="C2" s="6" t="s">
        <v>23</v>
      </c>
      <c r="D2" s="4" t="n">
        <v>30</v>
      </c>
      <c r="E2" s="20" t="s">
        <v>24</v>
      </c>
    </row>
    <row r="3" customFormat="false" ht="17.35" hidden="false" customHeight="false" outlineLevel="0" collapsed="false">
      <c r="A3" s="4" t="n">
        <v>1</v>
      </c>
      <c r="B3" s="5" t="n">
        <v>46308</v>
      </c>
      <c r="C3" s="6" t="s">
        <v>25</v>
      </c>
      <c r="D3" s="4" t="n">
        <v>30</v>
      </c>
      <c r="E3" s="20" t="s">
        <v>24</v>
      </c>
    </row>
    <row r="4" customFormat="false" ht="17.35" hidden="false" customHeight="false" outlineLevel="0" collapsed="false">
      <c r="A4" s="4" t="n">
        <v>1</v>
      </c>
      <c r="B4" s="5" t="n">
        <v>46308</v>
      </c>
      <c r="C4" s="6" t="s">
        <v>26</v>
      </c>
      <c r="D4" s="4" t="n">
        <v>60</v>
      </c>
      <c r="E4" s="20" t="s">
        <v>24</v>
      </c>
    </row>
    <row r="5" customFormat="false" ht="17.35" hidden="false" customHeight="false" outlineLevel="0" collapsed="false">
      <c r="A5" s="4" t="n">
        <v>1</v>
      </c>
      <c r="B5" s="5" t="n">
        <v>46308</v>
      </c>
      <c r="C5" s="6" t="s">
        <v>27</v>
      </c>
      <c r="D5" s="4" t="n">
        <v>60</v>
      </c>
      <c r="E5" s="20" t="s">
        <v>24</v>
      </c>
    </row>
    <row r="6" customFormat="false" ht="17.35" hidden="false" customHeight="false" outlineLevel="0" collapsed="false">
      <c r="A6" s="4" t="n">
        <v>1</v>
      </c>
      <c r="B6" s="5" t="n">
        <v>46308</v>
      </c>
      <c r="C6" s="6" t="s">
        <v>28</v>
      </c>
      <c r="D6" s="4" t="n">
        <v>15</v>
      </c>
      <c r="E6" s="20" t="s">
        <v>24</v>
      </c>
    </row>
    <row r="7" customFormat="false" ht="17.35" hidden="false" customHeight="false" outlineLevel="0" collapsed="false">
      <c r="A7" s="9" t="n">
        <v>2</v>
      </c>
      <c r="B7" s="10" t="n">
        <v>46309</v>
      </c>
      <c r="C7" s="11" t="s">
        <v>29</v>
      </c>
      <c r="D7" s="9" t="n">
        <v>50</v>
      </c>
      <c r="E7" s="20" t="s">
        <v>24</v>
      </c>
    </row>
    <row r="8" customFormat="false" ht="17.35" hidden="false" customHeight="false" outlineLevel="0" collapsed="false">
      <c r="A8" s="9" t="n">
        <v>2</v>
      </c>
      <c r="B8" s="10" t="n">
        <v>46309</v>
      </c>
      <c r="C8" s="11" t="s">
        <v>30</v>
      </c>
      <c r="D8" s="9" t="n">
        <v>50</v>
      </c>
      <c r="E8" s="20" t="s">
        <v>24</v>
      </c>
    </row>
    <row r="9" customFormat="false" ht="17.35" hidden="false" customHeight="false" outlineLevel="0" collapsed="false">
      <c r="A9" s="9" t="n">
        <v>2</v>
      </c>
      <c r="B9" s="10" t="n">
        <v>46309</v>
      </c>
      <c r="C9" s="11" t="s">
        <v>31</v>
      </c>
      <c r="D9" s="9" t="n">
        <v>50</v>
      </c>
      <c r="E9" s="20" t="s">
        <v>24</v>
      </c>
    </row>
    <row r="10" customFormat="false" ht="17.35" hidden="false" customHeight="false" outlineLevel="0" collapsed="false">
      <c r="A10" s="9" t="n">
        <v>2</v>
      </c>
      <c r="B10" s="10" t="n">
        <v>46309</v>
      </c>
      <c r="C10" s="11" t="s">
        <v>32</v>
      </c>
      <c r="D10" s="9" t="n">
        <v>60</v>
      </c>
      <c r="E10" s="20" t="s">
        <v>24</v>
      </c>
    </row>
    <row r="11" customFormat="false" ht="17.35" hidden="false" customHeight="false" outlineLevel="0" collapsed="false">
      <c r="A11" s="9" t="n">
        <v>2</v>
      </c>
      <c r="B11" s="10" t="n">
        <v>46309</v>
      </c>
      <c r="C11" s="11" t="s">
        <v>33</v>
      </c>
      <c r="D11" s="9" t="n">
        <v>15</v>
      </c>
      <c r="E11" s="20" t="s">
        <v>24</v>
      </c>
    </row>
    <row r="12" customFormat="false" ht="17.35" hidden="false" customHeight="false" outlineLevel="0" collapsed="false">
      <c r="A12" s="9" t="n">
        <v>2</v>
      </c>
      <c r="B12" s="10" t="n">
        <v>46309</v>
      </c>
      <c r="C12" s="11" t="s">
        <v>34</v>
      </c>
      <c r="D12" s="9" t="n">
        <v>15</v>
      </c>
      <c r="E12" s="20" t="s">
        <v>24</v>
      </c>
    </row>
    <row r="13" customFormat="false" ht="17.35" hidden="false" customHeight="false" outlineLevel="0" collapsed="false">
      <c r="A13" s="4" t="n">
        <v>3</v>
      </c>
      <c r="B13" s="5" t="n">
        <v>46310</v>
      </c>
      <c r="C13" s="6" t="s">
        <v>35</v>
      </c>
      <c r="D13" s="4" t="n">
        <v>50</v>
      </c>
      <c r="E13" s="20" t="s">
        <v>24</v>
      </c>
    </row>
    <row r="14" customFormat="false" ht="17.35" hidden="false" customHeight="false" outlineLevel="0" collapsed="false">
      <c r="A14" s="4" t="n">
        <v>3</v>
      </c>
      <c r="B14" s="5" t="n">
        <v>46310</v>
      </c>
      <c r="C14" s="6" t="s">
        <v>36</v>
      </c>
      <c r="D14" s="4" t="n">
        <v>50</v>
      </c>
      <c r="E14" s="20" t="s">
        <v>24</v>
      </c>
    </row>
    <row r="15" customFormat="false" ht="17.35" hidden="false" customHeight="false" outlineLevel="0" collapsed="false">
      <c r="A15" s="4" t="n">
        <v>3</v>
      </c>
      <c r="B15" s="5" t="n">
        <v>46310</v>
      </c>
      <c r="C15" s="6" t="s">
        <v>37</v>
      </c>
      <c r="D15" s="4" t="n">
        <v>50</v>
      </c>
      <c r="E15" s="20" t="s">
        <v>24</v>
      </c>
    </row>
    <row r="16" customFormat="false" ht="17.35" hidden="false" customHeight="false" outlineLevel="0" collapsed="false">
      <c r="A16" s="4" t="n">
        <v>3</v>
      </c>
      <c r="B16" s="5" t="n">
        <v>46310</v>
      </c>
      <c r="C16" s="6" t="s">
        <v>38</v>
      </c>
      <c r="D16" s="4" t="n">
        <v>60</v>
      </c>
      <c r="E16" s="20" t="s">
        <v>24</v>
      </c>
    </row>
    <row r="17" customFormat="false" ht="17.35" hidden="false" customHeight="false" outlineLevel="0" collapsed="false">
      <c r="A17" s="4" t="n">
        <v>3</v>
      </c>
      <c r="B17" s="5" t="n">
        <v>46310</v>
      </c>
      <c r="C17" s="6" t="s">
        <v>39</v>
      </c>
      <c r="D17" s="4" t="n">
        <v>30</v>
      </c>
      <c r="E17" s="20" t="s">
        <v>24</v>
      </c>
    </row>
    <row r="18" customFormat="false" ht="17.35" hidden="false" customHeight="false" outlineLevel="0" collapsed="false">
      <c r="A18" s="4" t="n">
        <v>3</v>
      </c>
      <c r="B18" s="5" t="n">
        <v>46310</v>
      </c>
      <c r="C18" s="6" t="s">
        <v>40</v>
      </c>
      <c r="D18" s="4" t="n">
        <v>15</v>
      </c>
      <c r="E18" s="20" t="s">
        <v>24</v>
      </c>
    </row>
    <row r="19" customFormat="false" ht="17.35" hidden="false" customHeight="false" outlineLevel="0" collapsed="false">
      <c r="A19" s="9" t="n">
        <v>4</v>
      </c>
      <c r="B19" s="10" t="n">
        <v>46311</v>
      </c>
      <c r="C19" s="11" t="s">
        <v>41</v>
      </c>
      <c r="D19" s="9" t="n">
        <v>60</v>
      </c>
      <c r="E19" s="20" t="s">
        <v>24</v>
      </c>
    </row>
    <row r="20" customFormat="false" ht="17.35" hidden="false" customHeight="false" outlineLevel="0" collapsed="false">
      <c r="A20" s="9" t="n">
        <v>4</v>
      </c>
      <c r="B20" s="10" t="n">
        <v>46311</v>
      </c>
      <c r="C20" s="11" t="s">
        <v>42</v>
      </c>
      <c r="D20" s="9" t="n">
        <v>45</v>
      </c>
      <c r="E20" s="20" t="s">
        <v>24</v>
      </c>
    </row>
    <row r="21" customFormat="false" ht="17.35" hidden="false" customHeight="false" outlineLevel="0" collapsed="false">
      <c r="A21" s="9" t="n">
        <v>4</v>
      </c>
      <c r="B21" s="10" t="n">
        <v>46311</v>
      </c>
      <c r="C21" s="11" t="s">
        <v>43</v>
      </c>
      <c r="D21" s="9" t="n">
        <v>90</v>
      </c>
      <c r="E21" s="20" t="s">
        <v>24</v>
      </c>
    </row>
    <row r="22" customFormat="false" ht="17.35" hidden="false" customHeight="false" outlineLevel="0" collapsed="false">
      <c r="A22" s="9" t="n">
        <v>4</v>
      </c>
      <c r="B22" s="10" t="n">
        <v>46311</v>
      </c>
      <c r="C22" s="11" t="s">
        <v>44</v>
      </c>
      <c r="D22" s="9" t="n">
        <v>45</v>
      </c>
      <c r="E22" s="20" t="s">
        <v>24</v>
      </c>
    </row>
    <row r="23" customFormat="false" ht="17.35" hidden="false" customHeight="false" outlineLevel="0" collapsed="false">
      <c r="A23" s="9" t="n">
        <v>4</v>
      </c>
      <c r="B23" s="10" t="n">
        <v>46311</v>
      </c>
      <c r="C23" s="11" t="s">
        <v>45</v>
      </c>
      <c r="D23" s="9" t="n">
        <v>15</v>
      </c>
      <c r="E23" s="20" t="s">
        <v>24</v>
      </c>
    </row>
    <row r="24" customFormat="false" ht="17.35" hidden="false" customHeight="false" outlineLevel="0" collapsed="false">
      <c r="A24" s="9" t="n">
        <v>4</v>
      </c>
      <c r="B24" s="10" t="n">
        <v>46311</v>
      </c>
      <c r="C24" s="11" t="s">
        <v>46</v>
      </c>
      <c r="D24" s="9" t="n">
        <v>15</v>
      </c>
      <c r="E24" s="20" t="s">
        <v>24</v>
      </c>
    </row>
    <row r="25" customFormat="false" ht="17.35" hidden="false" customHeight="false" outlineLevel="0" collapsed="false">
      <c r="A25" s="4" t="n">
        <v>5</v>
      </c>
      <c r="B25" s="5" t="n">
        <v>46312</v>
      </c>
      <c r="C25" s="6" t="s">
        <v>47</v>
      </c>
      <c r="D25" s="4" t="n">
        <v>30</v>
      </c>
      <c r="E25" s="20" t="s">
        <v>24</v>
      </c>
    </row>
    <row r="26" customFormat="false" ht="17.35" hidden="false" customHeight="false" outlineLevel="0" collapsed="false">
      <c r="A26" s="4" t="n">
        <v>5</v>
      </c>
      <c r="B26" s="5" t="n">
        <v>46312</v>
      </c>
      <c r="C26" s="6" t="s">
        <v>48</v>
      </c>
      <c r="D26" s="4" t="n">
        <v>15</v>
      </c>
      <c r="E26" s="20" t="s">
        <v>24</v>
      </c>
    </row>
    <row r="27" customFormat="false" ht="26.85" hidden="false" customHeight="false" outlineLevel="0" collapsed="false">
      <c r="A27" s="4" t="n">
        <v>5</v>
      </c>
      <c r="B27" s="5" t="n">
        <v>46312</v>
      </c>
      <c r="C27" s="6" t="s">
        <v>49</v>
      </c>
      <c r="D27" s="4" t="n">
        <v>60</v>
      </c>
      <c r="E27" s="20" t="s">
        <v>24</v>
      </c>
    </row>
    <row r="28" customFormat="false" ht="17.35" hidden="false" customHeight="false" outlineLevel="0" collapsed="false">
      <c r="A28" s="4" t="n">
        <v>5</v>
      </c>
      <c r="B28" s="5" t="n">
        <v>46312</v>
      </c>
      <c r="C28" s="6" t="s">
        <v>50</v>
      </c>
      <c r="D28" s="4" t="n">
        <v>30</v>
      </c>
      <c r="E28" s="20" t="s">
        <v>24</v>
      </c>
    </row>
    <row r="29" customFormat="false" ht="17.35" hidden="false" customHeight="false" outlineLevel="0" collapsed="false">
      <c r="A29" s="4" t="n">
        <v>5</v>
      </c>
      <c r="B29" s="5" t="n">
        <v>46312</v>
      </c>
      <c r="C29" s="6" t="s">
        <v>51</v>
      </c>
      <c r="D29" s="4" t="n">
        <v>15</v>
      </c>
      <c r="E29" s="20" t="s">
        <v>24</v>
      </c>
    </row>
    <row r="30" customFormat="false" ht="17.35" hidden="false" customHeight="false" outlineLevel="0" collapsed="false">
      <c r="A30" s="4" t="n">
        <v>5</v>
      </c>
      <c r="B30" s="5" t="n">
        <v>46312</v>
      </c>
      <c r="C30" s="6" t="s">
        <v>52</v>
      </c>
      <c r="D30" s="4" t="n">
        <v>20</v>
      </c>
      <c r="E30" s="20" t="s">
        <v>24</v>
      </c>
    </row>
    <row r="31" customFormat="false" ht="17.35" hidden="false" customHeight="false" outlineLevel="0" collapsed="false">
      <c r="A31" s="4" t="n">
        <v>5</v>
      </c>
      <c r="B31" s="5" t="n">
        <v>46312</v>
      </c>
      <c r="C31" s="6" t="s">
        <v>53</v>
      </c>
      <c r="D31" s="4" t="n">
        <v>10</v>
      </c>
      <c r="E31" s="20" t="s">
        <v>24</v>
      </c>
    </row>
  </sheetData>
  <conditionalFormatting sqref="A2:E31">
    <cfRule type="expression" priority="2" aboveAverage="0" equalAverage="0" bottom="0" percent="0" rank="0" text="" dxfId="1">
      <formula>$E2="☑"</formula>
    </cfRule>
  </conditionalFormatting>
  <dataValidations count="1">
    <dataValidation allowBlank="false" error="Pick ☐ or ☑ from the dropdown" errorStyle="stop" errorTitle="Invalid entry" operator="between" showDropDown="false" showErrorMessage="false" showInputMessage="false" sqref="E2:E31" type="list">
      <formula1>"☐,☑"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3" t="s">
        <v>54</v>
      </c>
      <c r="B1" s="3" t="s">
        <v>55</v>
      </c>
    </row>
    <row r="2" customFormat="false" ht="17.35" hidden="false" customHeight="false" outlineLevel="0" collapsed="false">
      <c r="A2" s="21" t="s">
        <v>56</v>
      </c>
      <c r="B2" s="20" t="s">
        <v>24</v>
      </c>
    </row>
    <row r="3" customFormat="false" ht="17.35" hidden="false" customHeight="false" outlineLevel="0" collapsed="false">
      <c r="A3" s="21" t="s">
        <v>57</v>
      </c>
      <c r="B3" s="20" t="s">
        <v>24</v>
      </c>
    </row>
    <row r="4" customFormat="false" ht="17.35" hidden="false" customHeight="false" outlineLevel="0" collapsed="false">
      <c r="A4" s="21" t="s">
        <v>58</v>
      </c>
      <c r="B4" s="20" t="s">
        <v>24</v>
      </c>
    </row>
    <row r="6" customFormat="false" ht="15" hidden="false" customHeight="false" outlineLevel="0" collapsed="false">
      <c r="A6" s="2" t="s">
        <v>59</v>
      </c>
    </row>
  </sheetData>
  <dataValidations count="1">
    <dataValidation allowBlank="false" errorStyle="stop" operator="between" showDropDown="false" showErrorMessage="false" showInputMessage="false" sqref="B2:B4" type="list">
      <formula1>"☐,☑"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2026-10-13T12:18:42Z</dcterms:created>
  <dc:creator>openpyxl</dc:creator>
  <dc:description/>
  <dc:language>en-US</dc:language>
  <cp:lastModifiedBy/>
  <dcterms:modified xsi:type="dcterms:W3CDTF">2026-10-13T12:18:42Z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